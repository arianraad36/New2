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/Desktop/"/>
    </mc:Choice>
  </mc:AlternateContent>
  <xr:revisionPtr revIDLastSave="0" documentId="13_ncr:1_{63EF1437-B23D-4343-93A9-24BC615BD515}" xr6:coauthVersionLast="47" xr6:coauthVersionMax="47" xr10:uidLastSave="{00000000-0000-0000-0000-000000000000}"/>
  <bookViews>
    <workbookView xWindow="0" yWindow="0" windowWidth="28800" windowHeight="18000" xr2:uid="{2F2DCD66-AF4B-C243-8715-E984CB514D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7" i="1" l="1"/>
  <c r="M37" i="1"/>
  <c r="J37" i="1"/>
  <c r="L37" i="1" s="1"/>
  <c r="H37" i="1"/>
  <c r="G37" i="1"/>
  <c r="F37" i="1"/>
  <c r="N36" i="1"/>
  <c r="M36" i="1"/>
  <c r="J36" i="1"/>
  <c r="L36" i="1" s="1"/>
  <c r="H36" i="1"/>
  <c r="G36" i="1"/>
  <c r="F36" i="1"/>
  <c r="N35" i="1"/>
  <c r="M35" i="1"/>
  <c r="J35" i="1"/>
  <c r="L35" i="1" s="1"/>
  <c r="H35" i="1"/>
  <c r="G35" i="1"/>
  <c r="F35" i="1"/>
  <c r="N34" i="1"/>
  <c r="M34" i="1"/>
  <c r="J34" i="1"/>
  <c r="L34" i="1" s="1"/>
  <c r="H34" i="1"/>
  <c r="G34" i="1"/>
  <c r="F34" i="1"/>
  <c r="N33" i="1"/>
  <c r="M33" i="1"/>
  <c r="J33" i="1"/>
  <c r="L33" i="1" s="1"/>
  <c r="H33" i="1"/>
  <c r="G33" i="1"/>
  <c r="F33" i="1"/>
  <c r="N32" i="1"/>
  <c r="M32" i="1"/>
  <c r="J32" i="1"/>
  <c r="L32" i="1" s="1"/>
  <c r="H32" i="1"/>
  <c r="G32" i="1"/>
  <c r="F32" i="1"/>
  <c r="N31" i="1"/>
  <c r="M31" i="1"/>
  <c r="J31" i="1"/>
  <c r="L31" i="1" s="1"/>
  <c r="H31" i="1"/>
  <c r="G31" i="1"/>
  <c r="F31" i="1"/>
  <c r="N30" i="1"/>
  <c r="M30" i="1"/>
  <c r="J30" i="1"/>
  <c r="L30" i="1" s="1"/>
  <c r="H30" i="1"/>
  <c r="G30" i="1"/>
  <c r="F30" i="1"/>
  <c r="N29" i="1"/>
  <c r="M29" i="1"/>
  <c r="J29" i="1"/>
  <c r="L29" i="1" s="1"/>
  <c r="H29" i="1"/>
  <c r="G29" i="1"/>
  <c r="F29" i="1"/>
  <c r="N28" i="1"/>
  <c r="M28" i="1"/>
  <c r="J28" i="1"/>
  <c r="L28" i="1" s="1"/>
  <c r="H28" i="1"/>
  <c r="G28" i="1"/>
  <c r="F28" i="1"/>
  <c r="N27" i="1"/>
  <c r="M27" i="1"/>
  <c r="J27" i="1"/>
  <c r="L27" i="1" s="1"/>
  <c r="H27" i="1"/>
  <c r="G27" i="1"/>
  <c r="F27" i="1"/>
  <c r="N26" i="1"/>
  <c r="M26" i="1"/>
  <c r="J26" i="1"/>
  <c r="L26" i="1" s="1"/>
  <c r="H26" i="1"/>
  <c r="G26" i="1"/>
  <c r="F26" i="1"/>
  <c r="G20" i="1"/>
  <c r="J16" i="1"/>
  <c r="L16" i="1" s="1"/>
  <c r="N25" i="1"/>
  <c r="M25" i="1"/>
  <c r="J25" i="1"/>
  <c r="L25" i="1" s="1"/>
  <c r="H25" i="1"/>
  <c r="G25" i="1"/>
  <c r="F25" i="1"/>
  <c r="N24" i="1"/>
  <c r="M24" i="1"/>
  <c r="J24" i="1"/>
  <c r="L24" i="1" s="1"/>
  <c r="H24" i="1"/>
  <c r="G24" i="1"/>
  <c r="F24" i="1"/>
  <c r="N23" i="1"/>
  <c r="M23" i="1"/>
  <c r="J23" i="1"/>
  <c r="L23" i="1" s="1"/>
  <c r="H23" i="1"/>
  <c r="G23" i="1"/>
  <c r="F23" i="1"/>
  <c r="N22" i="1"/>
  <c r="M22" i="1"/>
  <c r="J22" i="1"/>
  <c r="L22" i="1" s="1"/>
  <c r="H22" i="1"/>
  <c r="G22" i="1"/>
  <c r="F22" i="1"/>
  <c r="N21" i="1"/>
  <c r="M21" i="1"/>
  <c r="J21" i="1"/>
  <c r="L21" i="1" s="1"/>
  <c r="H21" i="1"/>
  <c r="G21" i="1"/>
  <c r="F21" i="1"/>
  <c r="N20" i="1"/>
  <c r="M20" i="1"/>
  <c r="J20" i="1"/>
  <c r="L20" i="1" s="1"/>
  <c r="H20" i="1"/>
  <c r="F20" i="1"/>
  <c r="N19" i="1"/>
  <c r="M19" i="1"/>
  <c r="J19" i="1"/>
  <c r="L19" i="1" s="1"/>
  <c r="H19" i="1"/>
  <c r="G19" i="1"/>
  <c r="F19" i="1"/>
  <c r="N18" i="1"/>
  <c r="M18" i="1"/>
  <c r="J18" i="1"/>
  <c r="L18" i="1" s="1"/>
  <c r="H18" i="1"/>
  <c r="G18" i="1"/>
  <c r="F18" i="1"/>
  <c r="N17" i="1"/>
  <c r="M17" i="1"/>
  <c r="J17" i="1"/>
  <c r="L17" i="1" s="1"/>
  <c r="H17" i="1"/>
  <c r="G17" i="1"/>
  <c r="F17" i="1"/>
  <c r="N16" i="1"/>
  <c r="M16" i="1"/>
  <c r="H16" i="1"/>
  <c r="G16" i="1"/>
  <c r="F16" i="1"/>
  <c r="N15" i="1"/>
  <c r="M15" i="1"/>
  <c r="J15" i="1"/>
  <c r="L15" i="1" s="1"/>
  <c r="H15" i="1"/>
  <c r="G15" i="1"/>
  <c r="F15" i="1"/>
  <c r="N14" i="1"/>
  <c r="M14" i="1"/>
  <c r="J14" i="1"/>
  <c r="L14" i="1" s="1"/>
  <c r="H14" i="1"/>
  <c r="G14" i="1"/>
  <c r="F14" i="1"/>
  <c r="F6" i="1"/>
  <c r="G6" i="1"/>
  <c r="H6" i="1"/>
  <c r="J6" i="1"/>
  <c r="K6" i="1" s="1"/>
  <c r="L6" i="1"/>
  <c r="M6" i="1"/>
  <c r="N6" i="1"/>
  <c r="F7" i="1"/>
  <c r="G7" i="1"/>
  <c r="H7" i="1"/>
  <c r="J7" i="1"/>
  <c r="K7" i="1"/>
  <c r="L7" i="1"/>
  <c r="M7" i="1"/>
  <c r="N7" i="1"/>
  <c r="F8" i="1"/>
  <c r="G8" i="1"/>
  <c r="H8" i="1"/>
  <c r="J8" i="1"/>
  <c r="K8" i="1"/>
  <c r="L8" i="1"/>
  <c r="M8" i="1"/>
  <c r="N8" i="1"/>
  <c r="F9" i="1"/>
  <c r="G9" i="1"/>
  <c r="H9" i="1"/>
  <c r="J9" i="1"/>
  <c r="K9" i="1"/>
  <c r="L9" i="1"/>
  <c r="M9" i="1"/>
  <c r="N9" i="1"/>
  <c r="F10" i="1"/>
  <c r="G10" i="1"/>
  <c r="H10" i="1"/>
  <c r="J10" i="1"/>
  <c r="K10" i="1"/>
  <c r="L10" i="1"/>
  <c r="M10" i="1"/>
  <c r="N10" i="1"/>
  <c r="F11" i="1"/>
  <c r="G11" i="1"/>
  <c r="H11" i="1"/>
  <c r="J11" i="1"/>
  <c r="K11" i="1"/>
  <c r="L11" i="1"/>
  <c r="M11" i="1"/>
  <c r="N11" i="1"/>
  <c r="F12" i="1"/>
  <c r="G12" i="1"/>
  <c r="H12" i="1"/>
  <c r="J12" i="1"/>
  <c r="K12" i="1"/>
  <c r="L12" i="1"/>
  <c r="M12" i="1"/>
  <c r="N12" i="1"/>
  <c r="F13" i="1"/>
  <c r="G13" i="1"/>
  <c r="H13" i="1"/>
  <c r="J13" i="1"/>
  <c r="K13" i="1"/>
  <c r="L13" i="1"/>
  <c r="M13" i="1"/>
  <c r="N13" i="1"/>
  <c r="F3" i="1"/>
  <c r="G3" i="1"/>
  <c r="H3" i="1"/>
  <c r="J3" i="1"/>
  <c r="K3" i="1" s="1"/>
  <c r="L3" i="1"/>
  <c r="M3" i="1"/>
  <c r="N3" i="1"/>
  <c r="F4" i="1"/>
  <c r="G4" i="1"/>
  <c r="H4" i="1"/>
  <c r="J4" i="1"/>
  <c r="K4" i="1" s="1"/>
  <c r="L4" i="1"/>
  <c r="M4" i="1"/>
  <c r="N4" i="1"/>
  <c r="F5" i="1"/>
  <c r="G5" i="1"/>
  <c r="H5" i="1"/>
  <c r="J5" i="1"/>
  <c r="K5" i="1" s="1"/>
  <c r="M5" i="1"/>
  <c r="N5" i="1"/>
  <c r="L2" i="1"/>
  <c r="K2" i="1"/>
  <c r="H2" i="1"/>
  <c r="J2" i="1"/>
  <c r="G2" i="1"/>
  <c r="N2" i="1"/>
  <c r="M2" i="1"/>
  <c r="F2" i="1"/>
  <c r="K26" i="1" l="1"/>
  <c r="K27" i="1"/>
  <c r="K28" i="1"/>
  <c r="K29" i="1"/>
  <c r="K30" i="1"/>
  <c r="K31" i="1"/>
  <c r="K32" i="1"/>
  <c r="K33" i="1"/>
  <c r="K34" i="1"/>
  <c r="K35" i="1"/>
  <c r="K36" i="1"/>
  <c r="K37" i="1"/>
  <c r="K14" i="1"/>
  <c r="K15" i="1"/>
  <c r="K16" i="1"/>
  <c r="K17" i="1"/>
  <c r="K18" i="1"/>
  <c r="K19" i="1"/>
  <c r="K20" i="1"/>
  <c r="K21" i="1"/>
  <c r="K22" i="1"/>
  <c r="K23" i="1"/>
  <c r="K24" i="1"/>
  <c r="K25" i="1"/>
  <c r="L5" i="1"/>
</calcChain>
</file>

<file path=xl/sharedStrings.xml><?xml version="1.0" encoding="utf-8"?>
<sst xmlns="http://schemas.openxmlformats.org/spreadsheetml/2006/main" count="14" uniqueCount="14">
  <si>
    <t>H PIXEL</t>
  </si>
  <si>
    <t>V PIXEL</t>
  </si>
  <si>
    <t>PIXEL PITCH</t>
  </si>
  <si>
    <t>F.L</t>
  </si>
  <si>
    <t>TARGET SIZE</t>
  </si>
  <si>
    <t>RECOG DISTANCE 8 PIXEL</t>
  </si>
  <si>
    <t>DETECT DISTANCE 2 PIXEL</t>
  </si>
  <si>
    <t>GSD(CM)</t>
  </si>
  <si>
    <t>H FOV</t>
  </si>
  <si>
    <t>V FOV</t>
  </si>
  <si>
    <t>MIN DISTANCE(m)</t>
  </si>
  <si>
    <t>DISTANCE(m)</t>
  </si>
  <si>
    <t>H-FOV-deg</t>
  </si>
  <si>
    <t>V-FOV-deg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</si>
</sst>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82F2-1D90-5044-A9CE-F9F0F06D9B1B}">
  <dimension ref="A1:O38"/>
  <sheetViews>
    <sheetView tabSelected="1" workbookViewId="0">
      <selection activeCell="G17" sqref="G17"/>
    </sheetView>
  </sheetViews>
  <sheetFormatPr baseColWidth="10" defaultRowHeight="16" x14ac:dyDescent="0.2"/>
  <cols>
    <col min="1" max="1" width="9.83203125" style="1" customWidth="1"/>
    <col min="2" max="2" width="9.6640625" style="1" customWidth="1"/>
    <col min="3" max="3" width="12.6640625" style="1" bestFit="1" customWidth="1"/>
    <col min="4" max="4" width="9.83203125" style="1" customWidth="1"/>
    <col min="5" max="5" width="13.83203125" style="1" customWidth="1"/>
    <col min="6" max="6" width="26.6640625" style="1" bestFit="1" customWidth="1"/>
    <col min="7" max="7" width="25.83203125" style="1" bestFit="1" customWidth="1"/>
    <col min="8" max="8" width="18.83203125" style="1" bestFit="1" customWidth="1"/>
    <col min="9" max="9" width="16.5" style="1" bestFit="1" customWidth="1"/>
    <col min="10" max="12" width="10.83203125" style="1"/>
    <col min="13" max="13" width="11.5" style="1" bestFit="1" customWidth="1"/>
    <col min="14" max="14" width="11.33203125" style="1" bestFit="1" customWidth="1"/>
    <col min="15" max="16384" width="10.83203125" style="1"/>
  </cols>
  <sheetData>
    <row r="1" spans="1:15" ht="20" thickBot="1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8" t="s">
        <v>6</v>
      </c>
      <c r="G1" s="9" t="s">
        <v>5</v>
      </c>
      <c r="H1" s="9" t="s">
        <v>10</v>
      </c>
      <c r="I1" s="9" t="s">
        <v>11</v>
      </c>
      <c r="J1" s="9" t="s">
        <v>7</v>
      </c>
      <c r="K1" s="9" t="s">
        <v>8</v>
      </c>
      <c r="L1" s="9" t="s">
        <v>9</v>
      </c>
      <c r="M1" s="9" t="s">
        <v>12</v>
      </c>
      <c r="N1" s="10" t="s">
        <v>13</v>
      </c>
    </row>
    <row r="2" spans="1:15" x14ac:dyDescent="0.2">
      <c r="A2" s="4">
        <v>640</v>
      </c>
      <c r="B2" s="18">
        <v>512</v>
      </c>
      <c r="C2" s="24">
        <v>12</v>
      </c>
      <c r="D2" s="21">
        <v>100</v>
      </c>
      <c r="E2" s="27">
        <v>1</v>
      </c>
      <c r="F2" s="12">
        <f>(E2 * D2) / (2 * C2 / 1000)</f>
        <v>4166.666666666667</v>
      </c>
      <c r="G2" s="11">
        <f>(E2 * D2) / (8 * C2 / 1000)</f>
        <v>1041.6666666666667</v>
      </c>
      <c r="H2" s="11">
        <f>(E2 * D2) / (B2 * C2 / 1000)</f>
        <v>16.276041666666668</v>
      </c>
      <c r="I2" s="11">
        <v>1000</v>
      </c>
      <c r="J2" s="11">
        <f>100*( (C2 / 1000) * I2 ) / D2</f>
        <v>12</v>
      </c>
      <c r="K2" s="11">
        <f>J2*A2/100</f>
        <v>76.8</v>
      </c>
      <c r="L2" s="11">
        <f>J2*B2/100</f>
        <v>61.44</v>
      </c>
      <c r="M2" s="11">
        <f>2 * DEGREES(ATAN((A2 * C2 / 1000) / (2 * D2)))</f>
        <v>4.3981549348821112</v>
      </c>
      <c r="N2" s="15">
        <f>2 * DEGREES(ATAN((B2 * C2 / 1000) / (2 * D2)))</f>
        <v>3.5191459441455031</v>
      </c>
      <c r="O2" s="2"/>
    </row>
    <row r="3" spans="1:15" x14ac:dyDescent="0.2">
      <c r="A3" s="5">
        <v>640</v>
      </c>
      <c r="B3" s="19">
        <v>512</v>
      </c>
      <c r="C3" s="25">
        <v>12</v>
      </c>
      <c r="D3" s="22">
        <v>100</v>
      </c>
      <c r="E3" s="28">
        <v>4</v>
      </c>
      <c r="F3" s="13">
        <f t="shared" ref="F3:F5" si="0">(E3 * D3) / (2 * C3 / 1000)</f>
        <v>16666.666666666668</v>
      </c>
      <c r="G3" s="3">
        <f t="shared" ref="G3:G5" si="1">(E3 * D3) / (8 * C3 / 1000)</f>
        <v>4166.666666666667</v>
      </c>
      <c r="H3" s="3">
        <f t="shared" ref="H3:H5" si="2">(E3 * D3) / (B3 * C3 / 1000)</f>
        <v>65.104166666666671</v>
      </c>
      <c r="I3" s="3">
        <v>1000</v>
      </c>
      <c r="J3" s="3">
        <f t="shared" ref="J3:J5" si="3">100*( (C3 / 1000) * I3 ) / D3</f>
        <v>12</v>
      </c>
      <c r="K3" s="3">
        <f t="shared" ref="K3:K5" si="4">J3*A3/100</f>
        <v>76.8</v>
      </c>
      <c r="L3" s="3">
        <f t="shared" ref="L3:L5" si="5">J3*B3/100</f>
        <v>61.44</v>
      </c>
      <c r="M3" s="3">
        <f t="shared" ref="M3:M5" si="6">2 * DEGREES(ATAN((A3 * C3 / 1000) / (2 * D3)))</f>
        <v>4.3981549348821112</v>
      </c>
      <c r="N3" s="16">
        <f t="shared" ref="N3:N5" si="7">2 * DEGREES(ATAN((B3 * C3 / 1000) / (2 * D3)))</f>
        <v>3.5191459441455031</v>
      </c>
      <c r="O3" s="2"/>
    </row>
    <row r="4" spans="1:15" x14ac:dyDescent="0.2">
      <c r="A4" s="5">
        <v>640</v>
      </c>
      <c r="B4" s="19">
        <v>512</v>
      </c>
      <c r="C4" s="25">
        <v>12</v>
      </c>
      <c r="D4" s="22">
        <v>100</v>
      </c>
      <c r="E4" s="29">
        <v>10</v>
      </c>
      <c r="F4" s="13">
        <f t="shared" si="0"/>
        <v>41666.666666666664</v>
      </c>
      <c r="G4" s="3">
        <f t="shared" si="1"/>
        <v>10416.666666666666</v>
      </c>
      <c r="H4" s="3">
        <f t="shared" si="2"/>
        <v>162.76041666666666</v>
      </c>
      <c r="I4" s="3">
        <v>1000</v>
      </c>
      <c r="J4" s="3">
        <f t="shared" si="3"/>
        <v>12</v>
      </c>
      <c r="K4" s="3">
        <f t="shared" si="4"/>
        <v>76.8</v>
      </c>
      <c r="L4" s="3">
        <f t="shared" si="5"/>
        <v>61.44</v>
      </c>
      <c r="M4" s="3">
        <f t="shared" si="6"/>
        <v>4.3981549348821112</v>
      </c>
      <c r="N4" s="16">
        <f t="shared" si="7"/>
        <v>3.5191459441455031</v>
      </c>
      <c r="O4" s="2"/>
    </row>
    <row r="5" spans="1:15" ht="17" thickBot="1" x14ac:dyDescent="0.25">
      <c r="A5" s="6">
        <v>640</v>
      </c>
      <c r="B5" s="20">
        <v>512</v>
      </c>
      <c r="C5" s="26">
        <v>12</v>
      </c>
      <c r="D5" s="23">
        <v>100</v>
      </c>
      <c r="E5" s="30">
        <v>40</v>
      </c>
      <c r="F5" s="14">
        <f t="shared" si="0"/>
        <v>166666.66666666666</v>
      </c>
      <c r="G5" s="7">
        <f t="shared" si="1"/>
        <v>41666.666666666664</v>
      </c>
      <c r="H5" s="7">
        <f t="shared" si="2"/>
        <v>651.04166666666663</v>
      </c>
      <c r="I5" s="7">
        <v>1000</v>
      </c>
      <c r="J5" s="7">
        <f t="shared" si="3"/>
        <v>12</v>
      </c>
      <c r="K5" s="7">
        <f t="shared" si="4"/>
        <v>76.8</v>
      </c>
      <c r="L5" s="7">
        <f t="shared" si="5"/>
        <v>61.44</v>
      </c>
      <c r="M5" s="7">
        <f t="shared" si="6"/>
        <v>4.3981549348821112</v>
      </c>
      <c r="N5" s="17">
        <f t="shared" si="7"/>
        <v>3.5191459441455031</v>
      </c>
      <c r="O5" s="2"/>
    </row>
    <row r="6" spans="1:15" x14ac:dyDescent="0.2">
      <c r="A6" s="4">
        <v>640</v>
      </c>
      <c r="B6" s="18">
        <v>512</v>
      </c>
      <c r="C6" s="24">
        <v>12</v>
      </c>
      <c r="D6" s="31">
        <v>75</v>
      </c>
      <c r="E6" s="27">
        <v>1</v>
      </c>
      <c r="F6" s="12">
        <f t="shared" ref="F6:F18" si="8">(E6 * D6) / (2 * C6 / 1000)</f>
        <v>3125</v>
      </c>
      <c r="G6" s="11">
        <f t="shared" ref="G6:G18" si="9">(E6 * D6) / (8 * C6 / 1000)</f>
        <v>781.25</v>
      </c>
      <c r="H6" s="11">
        <f t="shared" ref="H6:H18" si="10">(E6 * D6) / (B6 * C6 / 1000)</f>
        <v>12.20703125</v>
      </c>
      <c r="I6" s="11">
        <v>1000</v>
      </c>
      <c r="J6" s="11">
        <f t="shared" ref="J6:J18" si="11">100*( (C6 / 1000) * I6 ) / D6</f>
        <v>16</v>
      </c>
      <c r="K6" s="11">
        <f t="shared" ref="K6:K18" si="12">J6*A6/100</f>
        <v>102.4</v>
      </c>
      <c r="L6" s="11">
        <f t="shared" ref="L6:L18" si="13">J6*B6/100</f>
        <v>81.92</v>
      </c>
      <c r="M6" s="11">
        <f t="shared" ref="M6:M18" si="14">2 * DEGREES(ATAN((A6 * C6 / 1000) / (2 * D6)))</f>
        <v>5.8619691311687614</v>
      </c>
      <c r="N6" s="15">
        <f t="shared" ref="N6:N18" si="15">2 * DEGREES(ATAN((B6 * C6 / 1000) / (2 * D6)))</f>
        <v>4.6910480061926085</v>
      </c>
      <c r="O6" s="2"/>
    </row>
    <row r="7" spans="1:15" x14ac:dyDescent="0.2">
      <c r="A7" s="5">
        <v>640</v>
      </c>
      <c r="B7" s="19">
        <v>512</v>
      </c>
      <c r="C7" s="25">
        <v>12</v>
      </c>
      <c r="D7" s="32">
        <v>75</v>
      </c>
      <c r="E7" s="29">
        <v>4</v>
      </c>
      <c r="F7" s="13">
        <f t="shared" si="8"/>
        <v>12500</v>
      </c>
      <c r="G7" s="3">
        <f t="shared" si="9"/>
        <v>3125</v>
      </c>
      <c r="H7" s="3">
        <f t="shared" si="10"/>
        <v>48.828125</v>
      </c>
      <c r="I7" s="3">
        <v>1000</v>
      </c>
      <c r="J7" s="3">
        <f t="shared" si="11"/>
        <v>16</v>
      </c>
      <c r="K7" s="3">
        <f t="shared" si="12"/>
        <v>102.4</v>
      </c>
      <c r="L7" s="3">
        <f t="shared" si="13"/>
        <v>81.92</v>
      </c>
      <c r="M7" s="3">
        <f t="shared" si="14"/>
        <v>5.8619691311687614</v>
      </c>
      <c r="N7" s="16">
        <f t="shared" si="15"/>
        <v>4.6910480061926085</v>
      </c>
      <c r="O7" s="2"/>
    </row>
    <row r="8" spans="1:15" x14ac:dyDescent="0.2">
      <c r="A8" s="5">
        <v>640</v>
      </c>
      <c r="B8" s="19">
        <v>512</v>
      </c>
      <c r="C8" s="25">
        <v>12</v>
      </c>
      <c r="D8" s="32">
        <v>75</v>
      </c>
      <c r="E8" s="29">
        <v>10</v>
      </c>
      <c r="F8" s="13">
        <f t="shared" si="8"/>
        <v>31250</v>
      </c>
      <c r="G8" s="3">
        <f t="shared" si="9"/>
        <v>7812.5</v>
      </c>
      <c r="H8" s="3">
        <f t="shared" si="10"/>
        <v>122.0703125</v>
      </c>
      <c r="I8" s="3">
        <v>1000</v>
      </c>
      <c r="J8" s="3">
        <f t="shared" si="11"/>
        <v>16</v>
      </c>
      <c r="K8" s="3">
        <f t="shared" si="12"/>
        <v>102.4</v>
      </c>
      <c r="L8" s="3">
        <f t="shared" si="13"/>
        <v>81.92</v>
      </c>
      <c r="M8" s="3">
        <f t="shared" si="14"/>
        <v>5.8619691311687614</v>
      </c>
      <c r="N8" s="16">
        <f t="shared" si="15"/>
        <v>4.6910480061926085</v>
      </c>
      <c r="O8" s="2"/>
    </row>
    <row r="9" spans="1:15" ht="17" thickBot="1" x14ac:dyDescent="0.25">
      <c r="A9" s="6">
        <v>640</v>
      </c>
      <c r="B9" s="20">
        <v>512</v>
      </c>
      <c r="C9" s="26">
        <v>12</v>
      </c>
      <c r="D9" s="33">
        <v>75</v>
      </c>
      <c r="E9" s="30">
        <v>40</v>
      </c>
      <c r="F9" s="14">
        <f t="shared" si="8"/>
        <v>125000</v>
      </c>
      <c r="G9" s="7">
        <f t="shared" si="9"/>
        <v>31250</v>
      </c>
      <c r="H9" s="7">
        <f t="shared" si="10"/>
        <v>488.28125</v>
      </c>
      <c r="I9" s="7">
        <v>1000</v>
      </c>
      <c r="J9" s="7">
        <f t="shared" si="11"/>
        <v>16</v>
      </c>
      <c r="K9" s="7">
        <f t="shared" si="12"/>
        <v>102.4</v>
      </c>
      <c r="L9" s="7">
        <f t="shared" si="13"/>
        <v>81.92</v>
      </c>
      <c r="M9" s="7">
        <f t="shared" si="14"/>
        <v>5.8619691311687614</v>
      </c>
      <c r="N9" s="17">
        <f t="shared" si="15"/>
        <v>4.6910480061926085</v>
      </c>
      <c r="O9" s="2"/>
    </row>
    <row r="10" spans="1:15" x14ac:dyDescent="0.2">
      <c r="A10" s="4">
        <v>640</v>
      </c>
      <c r="B10" s="18">
        <v>512</v>
      </c>
      <c r="C10" s="24">
        <v>12</v>
      </c>
      <c r="D10" s="21">
        <v>150</v>
      </c>
      <c r="E10" s="27">
        <v>1</v>
      </c>
      <c r="F10" s="12">
        <f t="shared" si="8"/>
        <v>6250</v>
      </c>
      <c r="G10" s="11">
        <f t="shared" si="9"/>
        <v>1562.5</v>
      </c>
      <c r="H10" s="11">
        <f t="shared" si="10"/>
        <v>24.4140625</v>
      </c>
      <c r="I10" s="11">
        <v>1000</v>
      </c>
      <c r="J10" s="11">
        <f t="shared" si="11"/>
        <v>8</v>
      </c>
      <c r="K10" s="11">
        <f t="shared" si="12"/>
        <v>51.2</v>
      </c>
      <c r="L10" s="11">
        <f t="shared" si="13"/>
        <v>40.96</v>
      </c>
      <c r="M10" s="11">
        <f t="shared" si="14"/>
        <v>2.9329033204955652</v>
      </c>
      <c r="N10" s="15">
        <f t="shared" si="15"/>
        <v>2.3465071000707658</v>
      </c>
      <c r="O10" s="2"/>
    </row>
    <row r="11" spans="1:15" x14ac:dyDescent="0.2">
      <c r="A11" s="5">
        <v>640</v>
      </c>
      <c r="B11" s="19">
        <v>512</v>
      </c>
      <c r="C11" s="25">
        <v>12</v>
      </c>
      <c r="D11" s="22">
        <v>150</v>
      </c>
      <c r="E11" s="29">
        <v>4</v>
      </c>
      <c r="F11" s="13">
        <f t="shared" si="8"/>
        <v>25000</v>
      </c>
      <c r="G11" s="3">
        <f t="shared" si="9"/>
        <v>6250</v>
      </c>
      <c r="H11" s="3">
        <f t="shared" si="10"/>
        <v>97.65625</v>
      </c>
      <c r="I11" s="3">
        <v>1000</v>
      </c>
      <c r="J11" s="3">
        <f t="shared" si="11"/>
        <v>8</v>
      </c>
      <c r="K11" s="3">
        <f t="shared" si="12"/>
        <v>51.2</v>
      </c>
      <c r="L11" s="3">
        <f t="shared" si="13"/>
        <v>40.96</v>
      </c>
      <c r="M11" s="3">
        <f t="shared" si="14"/>
        <v>2.9329033204955652</v>
      </c>
      <c r="N11" s="16">
        <f t="shared" si="15"/>
        <v>2.3465071000707658</v>
      </c>
      <c r="O11" s="2"/>
    </row>
    <row r="12" spans="1:15" x14ac:dyDescent="0.2">
      <c r="A12" s="5">
        <v>640</v>
      </c>
      <c r="B12" s="19">
        <v>512</v>
      </c>
      <c r="C12" s="25">
        <v>12</v>
      </c>
      <c r="D12" s="22">
        <v>150</v>
      </c>
      <c r="E12" s="29">
        <v>10</v>
      </c>
      <c r="F12" s="13">
        <f t="shared" si="8"/>
        <v>62500</v>
      </c>
      <c r="G12" s="3">
        <f t="shared" si="9"/>
        <v>15625</v>
      </c>
      <c r="H12" s="3">
        <f t="shared" si="10"/>
        <v>244.140625</v>
      </c>
      <c r="I12" s="3">
        <v>1000</v>
      </c>
      <c r="J12" s="3">
        <f t="shared" si="11"/>
        <v>8</v>
      </c>
      <c r="K12" s="3">
        <f t="shared" si="12"/>
        <v>51.2</v>
      </c>
      <c r="L12" s="3">
        <f t="shared" si="13"/>
        <v>40.96</v>
      </c>
      <c r="M12" s="3">
        <f t="shared" si="14"/>
        <v>2.9329033204955652</v>
      </c>
      <c r="N12" s="16">
        <f t="shared" si="15"/>
        <v>2.3465071000707658</v>
      </c>
      <c r="O12" s="2"/>
    </row>
    <row r="13" spans="1:15" ht="17" thickBot="1" x14ac:dyDescent="0.25">
      <c r="A13" s="6">
        <v>640</v>
      </c>
      <c r="B13" s="20">
        <v>512</v>
      </c>
      <c r="C13" s="26">
        <v>12</v>
      </c>
      <c r="D13" s="23">
        <v>150</v>
      </c>
      <c r="E13" s="30">
        <v>40</v>
      </c>
      <c r="F13" s="14">
        <f t="shared" si="8"/>
        <v>250000</v>
      </c>
      <c r="G13" s="7">
        <f t="shared" si="9"/>
        <v>62500</v>
      </c>
      <c r="H13" s="7">
        <f t="shared" si="10"/>
        <v>976.5625</v>
      </c>
      <c r="I13" s="7">
        <v>1000</v>
      </c>
      <c r="J13" s="7">
        <f t="shared" si="11"/>
        <v>8</v>
      </c>
      <c r="K13" s="7">
        <f t="shared" si="12"/>
        <v>51.2</v>
      </c>
      <c r="L13" s="7">
        <f t="shared" si="13"/>
        <v>40.96</v>
      </c>
      <c r="M13" s="7">
        <f t="shared" si="14"/>
        <v>2.9329033204955652</v>
      </c>
      <c r="N13" s="17">
        <f t="shared" si="15"/>
        <v>2.3465071000707658</v>
      </c>
      <c r="O13" s="2"/>
    </row>
    <row r="14" spans="1:15" x14ac:dyDescent="0.2">
      <c r="A14" s="4">
        <v>640</v>
      </c>
      <c r="B14" s="18">
        <v>512</v>
      </c>
      <c r="C14" s="31">
        <v>17</v>
      </c>
      <c r="D14" s="31">
        <v>100</v>
      </c>
      <c r="E14" s="27">
        <v>1</v>
      </c>
      <c r="F14" s="12">
        <f>(E14 * D14) / (2 * C14 / 1000)</f>
        <v>2941.1764705882351</v>
      </c>
      <c r="G14" s="11">
        <f>(E14 * D14) / (8 * C14 / 1000)</f>
        <v>735.29411764705878</v>
      </c>
      <c r="H14" s="11">
        <f>(E14 * D14) / (B14 * C14 / 1000)</f>
        <v>11.488970588235293</v>
      </c>
      <c r="I14" s="11">
        <v>1000</v>
      </c>
      <c r="J14" s="11">
        <f>100*( (C14 / 1000) * I14 ) / D14</f>
        <v>17</v>
      </c>
      <c r="K14" s="11">
        <f>J14*A14/100</f>
        <v>108.8</v>
      </c>
      <c r="L14" s="11">
        <f>J14*B14/100</f>
        <v>87.04</v>
      </c>
      <c r="M14" s="11">
        <f>2 * DEGREES(ATAN((A14 * C14 / 1000) / (2 * D14)))</f>
        <v>6.2276423729910535</v>
      </c>
      <c r="N14" s="15">
        <f>2 * DEGREES(ATAN((B14 * C14 / 1000) / (2 * D14)))</f>
        <v>4.9838797629395799</v>
      </c>
      <c r="O14" s="2"/>
    </row>
    <row r="15" spans="1:15" x14ac:dyDescent="0.2">
      <c r="A15" s="5">
        <v>640</v>
      </c>
      <c r="B15" s="19">
        <v>512</v>
      </c>
      <c r="C15" s="32">
        <v>17</v>
      </c>
      <c r="D15" s="32">
        <v>100</v>
      </c>
      <c r="E15" s="28">
        <v>4</v>
      </c>
      <c r="F15" s="13">
        <f t="shared" ref="F15:F25" si="16">(E15 * D15) / (2 * C15 / 1000)</f>
        <v>11764.705882352941</v>
      </c>
      <c r="G15" s="3">
        <f t="shared" ref="G15:G25" si="17">(E15 * D15) / (8 * C15 / 1000)</f>
        <v>2941.1764705882351</v>
      </c>
      <c r="H15" s="3">
        <f t="shared" ref="H15:H25" si="18">(E15 * D15) / (B15 * C15 / 1000)</f>
        <v>45.955882352941174</v>
      </c>
      <c r="I15" s="3">
        <v>1000</v>
      </c>
      <c r="J15" s="3">
        <f t="shared" ref="J15:J25" si="19">100*( (C15 / 1000) * I15 ) / D15</f>
        <v>17</v>
      </c>
      <c r="K15" s="3">
        <f t="shared" ref="K15:K25" si="20">J15*A15/100</f>
        <v>108.8</v>
      </c>
      <c r="L15" s="3">
        <f t="shared" ref="L15:L25" si="21">J15*B15/100</f>
        <v>87.04</v>
      </c>
      <c r="M15" s="3">
        <f t="shared" ref="M15:M25" si="22">2 * DEGREES(ATAN((A15 * C15 / 1000) / (2 * D15)))</f>
        <v>6.2276423729910535</v>
      </c>
      <c r="N15" s="16">
        <f t="shared" ref="N15:N25" si="23">2 * DEGREES(ATAN((B15 * C15 / 1000) / (2 * D15)))</f>
        <v>4.9838797629395799</v>
      </c>
      <c r="O15" s="2"/>
    </row>
    <row r="16" spans="1:15" x14ac:dyDescent="0.2">
      <c r="A16" s="5">
        <v>640</v>
      </c>
      <c r="B16" s="19">
        <v>512</v>
      </c>
      <c r="C16" s="32">
        <v>17</v>
      </c>
      <c r="D16" s="32">
        <v>100</v>
      </c>
      <c r="E16" s="29">
        <v>10</v>
      </c>
      <c r="F16" s="13">
        <f t="shared" si="16"/>
        <v>29411.76470588235</v>
      </c>
      <c r="G16" s="3">
        <f t="shared" si="17"/>
        <v>7352.9411764705874</v>
      </c>
      <c r="H16" s="3">
        <f t="shared" si="18"/>
        <v>114.88970588235293</v>
      </c>
      <c r="I16" s="3">
        <v>1000</v>
      </c>
      <c r="J16" s="3">
        <f>100*( (C16 / 1000) * I16 ) / D16</f>
        <v>17</v>
      </c>
      <c r="K16" s="3">
        <f t="shared" si="20"/>
        <v>108.8</v>
      </c>
      <c r="L16" s="3">
        <f t="shared" si="21"/>
        <v>87.04</v>
      </c>
      <c r="M16" s="3">
        <f t="shared" si="22"/>
        <v>6.2276423729910535</v>
      </c>
      <c r="N16" s="16">
        <f t="shared" si="23"/>
        <v>4.9838797629395799</v>
      </c>
      <c r="O16" s="2"/>
    </row>
    <row r="17" spans="1:15" ht="17" thickBot="1" x14ac:dyDescent="0.25">
      <c r="A17" s="6">
        <v>640</v>
      </c>
      <c r="B17" s="20">
        <v>512</v>
      </c>
      <c r="C17" s="33">
        <v>17</v>
      </c>
      <c r="D17" s="33">
        <v>100</v>
      </c>
      <c r="E17" s="30">
        <v>40</v>
      </c>
      <c r="F17" s="14">
        <f t="shared" si="16"/>
        <v>117647.0588235294</v>
      </c>
      <c r="G17" s="7">
        <f t="shared" si="17"/>
        <v>29411.76470588235</v>
      </c>
      <c r="H17" s="7">
        <f t="shared" si="18"/>
        <v>459.55882352941171</v>
      </c>
      <c r="I17" s="7">
        <v>1000</v>
      </c>
      <c r="J17" s="7">
        <f t="shared" si="19"/>
        <v>17</v>
      </c>
      <c r="K17" s="7">
        <f t="shared" si="20"/>
        <v>108.8</v>
      </c>
      <c r="L17" s="7">
        <f t="shared" si="21"/>
        <v>87.04</v>
      </c>
      <c r="M17" s="7">
        <f t="shared" si="22"/>
        <v>6.2276423729910535</v>
      </c>
      <c r="N17" s="17">
        <f t="shared" si="23"/>
        <v>4.9838797629395799</v>
      </c>
      <c r="O17" s="2"/>
    </row>
    <row r="18" spans="1:15" x14ac:dyDescent="0.2">
      <c r="A18" s="4">
        <v>640</v>
      </c>
      <c r="B18" s="18">
        <v>512</v>
      </c>
      <c r="C18" s="31">
        <v>17</v>
      </c>
      <c r="D18" s="21">
        <v>75</v>
      </c>
      <c r="E18" s="27">
        <v>1</v>
      </c>
      <c r="F18" s="12">
        <f t="shared" si="16"/>
        <v>2205.8823529411761</v>
      </c>
      <c r="G18" s="11">
        <f t="shared" si="17"/>
        <v>551.47058823529403</v>
      </c>
      <c r="H18" s="11">
        <f t="shared" si="18"/>
        <v>8.6167279411764692</v>
      </c>
      <c r="I18" s="11">
        <v>1000</v>
      </c>
      <c r="J18" s="11">
        <f t="shared" si="19"/>
        <v>22.666666666666668</v>
      </c>
      <c r="K18" s="11">
        <f t="shared" si="20"/>
        <v>145.06666666666669</v>
      </c>
      <c r="L18" s="11">
        <f t="shared" si="21"/>
        <v>116.05333333333334</v>
      </c>
      <c r="M18" s="11">
        <f t="shared" si="22"/>
        <v>8.2971773890140881</v>
      </c>
      <c r="N18" s="15">
        <f t="shared" si="23"/>
        <v>6.6419182256841278</v>
      </c>
      <c r="O18" s="2"/>
    </row>
    <row r="19" spans="1:15" x14ac:dyDescent="0.2">
      <c r="A19" s="5">
        <v>640</v>
      </c>
      <c r="B19" s="19">
        <v>512</v>
      </c>
      <c r="C19" s="32">
        <v>17</v>
      </c>
      <c r="D19" s="22">
        <v>75</v>
      </c>
      <c r="E19" s="29">
        <v>4</v>
      </c>
      <c r="F19" s="13">
        <f t="shared" si="16"/>
        <v>8823.5294117647045</v>
      </c>
      <c r="G19" s="3">
        <f t="shared" si="17"/>
        <v>2205.8823529411761</v>
      </c>
      <c r="H19" s="3">
        <f t="shared" si="18"/>
        <v>34.466911764705877</v>
      </c>
      <c r="I19" s="3">
        <v>1000</v>
      </c>
      <c r="J19" s="3">
        <f t="shared" si="19"/>
        <v>22.666666666666668</v>
      </c>
      <c r="K19" s="3">
        <f t="shared" si="20"/>
        <v>145.06666666666669</v>
      </c>
      <c r="L19" s="3">
        <f t="shared" si="21"/>
        <v>116.05333333333334</v>
      </c>
      <c r="M19" s="3">
        <f t="shared" si="22"/>
        <v>8.2971773890140881</v>
      </c>
      <c r="N19" s="16">
        <f t="shared" si="23"/>
        <v>6.6419182256841278</v>
      </c>
      <c r="O19" s="2"/>
    </row>
    <row r="20" spans="1:15" x14ac:dyDescent="0.2">
      <c r="A20" s="5">
        <v>640</v>
      </c>
      <c r="B20" s="19">
        <v>512</v>
      </c>
      <c r="C20" s="32">
        <v>17</v>
      </c>
      <c r="D20" s="22">
        <v>75</v>
      </c>
      <c r="E20" s="29">
        <v>10</v>
      </c>
      <c r="F20" s="13">
        <f t="shared" si="16"/>
        <v>22058.823529411762</v>
      </c>
      <c r="G20" s="3">
        <f>(E20 * D20) / (8 * C20 / 1000)</f>
        <v>5514.7058823529405</v>
      </c>
      <c r="H20" s="3">
        <f t="shared" si="18"/>
        <v>86.167279411764696</v>
      </c>
      <c r="I20" s="3">
        <v>1000</v>
      </c>
      <c r="J20" s="3">
        <f t="shared" si="19"/>
        <v>22.666666666666668</v>
      </c>
      <c r="K20" s="3">
        <f t="shared" si="20"/>
        <v>145.06666666666669</v>
      </c>
      <c r="L20" s="3">
        <f t="shared" si="21"/>
        <v>116.05333333333334</v>
      </c>
      <c r="M20" s="3">
        <f t="shared" si="22"/>
        <v>8.2971773890140881</v>
      </c>
      <c r="N20" s="16">
        <f t="shared" si="23"/>
        <v>6.6419182256841278</v>
      </c>
      <c r="O20" s="2"/>
    </row>
    <row r="21" spans="1:15" ht="17" thickBot="1" x14ac:dyDescent="0.25">
      <c r="A21" s="6">
        <v>640</v>
      </c>
      <c r="B21" s="20">
        <v>512</v>
      </c>
      <c r="C21" s="33">
        <v>17</v>
      </c>
      <c r="D21" s="23">
        <v>75</v>
      </c>
      <c r="E21" s="30">
        <v>40</v>
      </c>
      <c r="F21" s="14">
        <f t="shared" si="16"/>
        <v>88235.294117647049</v>
      </c>
      <c r="G21" s="7">
        <f t="shared" si="17"/>
        <v>22058.823529411762</v>
      </c>
      <c r="H21" s="7">
        <f t="shared" si="18"/>
        <v>344.66911764705878</v>
      </c>
      <c r="I21" s="7">
        <v>1000</v>
      </c>
      <c r="J21" s="7">
        <f t="shared" si="19"/>
        <v>22.666666666666668</v>
      </c>
      <c r="K21" s="7">
        <f t="shared" si="20"/>
        <v>145.06666666666669</v>
      </c>
      <c r="L21" s="7">
        <f t="shared" si="21"/>
        <v>116.05333333333334</v>
      </c>
      <c r="M21" s="7">
        <f t="shared" si="22"/>
        <v>8.2971773890140881</v>
      </c>
      <c r="N21" s="17">
        <f t="shared" si="23"/>
        <v>6.6419182256841278</v>
      </c>
      <c r="O21" s="2"/>
    </row>
    <row r="22" spans="1:15" x14ac:dyDescent="0.2">
      <c r="A22" s="4">
        <v>640</v>
      </c>
      <c r="B22" s="18">
        <v>512</v>
      </c>
      <c r="C22" s="31">
        <v>17</v>
      </c>
      <c r="D22" s="31">
        <v>150</v>
      </c>
      <c r="E22" s="27">
        <v>1</v>
      </c>
      <c r="F22" s="12">
        <f t="shared" si="16"/>
        <v>4411.7647058823522</v>
      </c>
      <c r="G22" s="11">
        <f t="shared" si="17"/>
        <v>1102.9411764705881</v>
      </c>
      <c r="H22" s="11">
        <f t="shared" si="18"/>
        <v>17.233455882352938</v>
      </c>
      <c r="I22" s="11">
        <v>1000</v>
      </c>
      <c r="J22" s="11">
        <f t="shared" si="19"/>
        <v>11.333333333333334</v>
      </c>
      <c r="K22" s="11">
        <f t="shared" si="20"/>
        <v>72.533333333333346</v>
      </c>
      <c r="L22" s="11">
        <f t="shared" si="21"/>
        <v>58.026666666666671</v>
      </c>
      <c r="M22" s="11">
        <f t="shared" si="22"/>
        <v>4.1540332856925888</v>
      </c>
      <c r="N22" s="15">
        <f t="shared" si="23"/>
        <v>3.3237506933699774</v>
      </c>
      <c r="O22" s="2"/>
    </row>
    <row r="23" spans="1:15" x14ac:dyDescent="0.2">
      <c r="A23" s="5">
        <v>640</v>
      </c>
      <c r="B23" s="19">
        <v>512</v>
      </c>
      <c r="C23" s="32">
        <v>17</v>
      </c>
      <c r="D23" s="32">
        <v>150</v>
      </c>
      <c r="E23" s="29">
        <v>4</v>
      </c>
      <c r="F23" s="13">
        <f t="shared" si="16"/>
        <v>17647.058823529409</v>
      </c>
      <c r="G23" s="3">
        <f t="shared" si="17"/>
        <v>4411.7647058823522</v>
      </c>
      <c r="H23" s="3">
        <f t="shared" si="18"/>
        <v>68.933823529411754</v>
      </c>
      <c r="I23" s="3">
        <v>1000</v>
      </c>
      <c r="J23" s="3">
        <f t="shared" si="19"/>
        <v>11.333333333333334</v>
      </c>
      <c r="K23" s="3">
        <f t="shared" si="20"/>
        <v>72.533333333333346</v>
      </c>
      <c r="L23" s="3">
        <f t="shared" si="21"/>
        <v>58.026666666666671</v>
      </c>
      <c r="M23" s="3">
        <f t="shared" si="22"/>
        <v>4.1540332856925888</v>
      </c>
      <c r="N23" s="16">
        <f t="shared" si="23"/>
        <v>3.3237506933699774</v>
      </c>
      <c r="O23" s="2"/>
    </row>
    <row r="24" spans="1:15" x14ac:dyDescent="0.2">
      <c r="A24" s="5">
        <v>640</v>
      </c>
      <c r="B24" s="19">
        <v>512</v>
      </c>
      <c r="C24" s="32">
        <v>17</v>
      </c>
      <c r="D24" s="32">
        <v>150</v>
      </c>
      <c r="E24" s="29">
        <v>10</v>
      </c>
      <c r="F24" s="13">
        <f t="shared" si="16"/>
        <v>44117.647058823524</v>
      </c>
      <c r="G24" s="3">
        <f t="shared" si="17"/>
        <v>11029.411764705881</v>
      </c>
      <c r="H24" s="3">
        <f t="shared" si="18"/>
        <v>172.33455882352939</v>
      </c>
      <c r="I24" s="3">
        <v>1000</v>
      </c>
      <c r="J24" s="3">
        <f t="shared" si="19"/>
        <v>11.333333333333334</v>
      </c>
      <c r="K24" s="3">
        <f t="shared" si="20"/>
        <v>72.533333333333346</v>
      </c>
      <c r="L24" s="3">
        <f t="shared" si="21"/>
        <v>58.026666666666671</v>
      </c>
      <c r="M24" s="3">
        <f t="shared" si="22"/>
        <v>4.1540332856925888</v>
      </c>
      <c r="N24" s="16">
        <f t="shared" si="23"/>
        <v>3.3237506933699774</v>
      </c>
      <c r="O24" s="2"/>
    </row>
    <row r="25" spans="1:15" ht="17" thickBot="1" x14ac:dyDescent="0.25">
      <c r="A25" s="6">
        <v>640</v>
      </c>
      <c r="B25" s="20">
        <v>512</v>
      </c>
      <c r="C25" s="33">
        <v>17</v>
      </c>
      <c r="D25" s="33">
        <v>150</v>
      </c>
      <c r="E25" s="30">
        <v>40</v>
      </c>
      <c r="F25" s="14">
        <f t="shared" si="16"/>
        <v>176470.5882352941</v>
      </c>
      <c r="G25" s="7">
        <f t="shared" si="17"/>
        <v>44117.647058823524</v>
      </c>
      <c r="H25" s="7">
        <f t="shared" si="18"/>
        <v>689.33823529411757</v>
      </c>
      <c r="I25" s="7">
        <v>1000</v>
      </c>
      <c r="J25" s="7">
        <f t="shared" si="19"/>
        <v>11.333333333333334</v>
      </c>
      <c r="K25" s="7">
        <f t="shared" si="20"/>
        <v>72.533333333333346</v>
      </c>
      <c r="L25" s="7">
        <f t="shared" si="21"/>
        <v>58.026666666666671</v>
      </c>
      <c r="M25" s="7">
        <f t="shared" si="22"/>
        <v>4.1540332856925888</v>
      </c>
      <c r="N25" s="17">
        <f t="shared" si="23"/>
        <v>3.3237506933699774</v>
      </c>
      <c r="O25" s="2"/>
    </row>
    <row r="26" spans="1:15" x14ac:dyDescent="0.2">
      <c r="A26" s="4">
        <v>640</v>
      </c>
      <c r="B26" s="18">
        <v>512</v>
      </c>
      <c r="C26" s="21">
        <v>10</v>
      </c>
      <c r="D26" s="21">
        <v>100</v>
      </c>
      <c r="E26" s="27">
        <v>1</v>
      </c>
      <c r="F26" s="12">
        <f>(E26 * D26) / (2 * C26 / 1000)</f>
        <v>5000</v>
      </c>
      <c r="G26" s="11">
        <f>(E26 * D26) / (8 * C26 / 1000)</f>
        <v>1250</v>
      </c>
      <c r="H26" s="11">
        <f>(E26 * D26) / (B26 * C26 / 1000)</f>
        <v>19.53125</v>
      </c>
      <c r="I26" s="11">
        <v>1000</v>
      </c>
      <c r="J26" s="11">
        <f>100*( (C26 / 1000) * I26 ) / D26</f>
        <v>10</v>
      </c>
      <c r="K26" s="11">
        <f>J26*A26/100</f>
        <v>64</v>
      </c>
      <c r="L26" s="11">
        <f>J26*B26/100</f>
        <v>51.2</v>
      </c>
      <c r="M26" s="11">
        <f>2 * DEGREES(ATAN((A26 * C26 / 1000) / (2 * D26)))</f>
        <v>3.6656790118841185</v>
      </c>
      <c r="N26" s="15">
        <f>2 * DEGREES(ATAN((B26 * C26 / 1000) / (2 * D26)))</f>
        <v>2.9329033204955657</v>
      </c>
      <c r="O26" s="2"/>
    </row>
    <row r="27" spans="1:15" x14ac:dyDescent="0.2">
      <c r="A27" s="5">
        <v>640</v>
      </c>
      <c r="B27" s="19">
        <v>512</v>
      </c>
      <c r="C27" s="22">
        <v>10</v>
      </c>
      <c r="D27" s="22">
        <v>100</v>
      </c>
      <c r="E27" s="28">
        <v>4</v>
      </c>
      <c r="F27" s="13">
        <f t="shared" ref="F27:F37" si="24">(E27 * D27) / (2 * C27 / 1000)</f>
        <v>20000</v>
      </c>
      <c r="G27" s="3">
        <f t="shared" ref="G27:G37" si="25">(E27 * D27) / (8 * C27 / 1000)</f>
        <v>5000</v>
      </c>
      <c r="H27" s="3">
        <f t="shared" ref="H27:H37" si="26">(E27 * D27) / (B27 * C27 / 1000)</f>
        <v>78.125</v>
      </c>
      <c r="I27" s="3">
        <v>1000</v>
      </c>
      <c r="J27" s="3">
        <f t="shared" ref="J27" si="27">100*( (C27 / 1000) * I27 ) / D27</f>
        <v>10</v>
      </c>
      <c r="K27" s="3">
        <f t="shared" ref="K27:K37" si="28">J27*A27/100</f>
        <v>64</v>
      </c>
      <c r="L27" s="3">
        <f t="shared" ref="L27:L37" si="29">J27*B27/100</f>
        <v>51.2</v>
      </c>
      <c r="M27" s="3">
        <f t="shared" ref="M27:M37" si="30">2 * DEGREES(ATAN((A27 * C27 / 1000) / (2 * D27)))</f>
        <v>3.6656790118841185</v>
      </c>
      <c r="N27" s="16">
        <f t="shared" ref="N27:N37" si="31">2 * DEGREES(ATAN((B27 * C27 / 1000) / (2 * D27)))</f>
        <v>2.9329033204955657</v>
      </c>
      <c r="O27" s="2"/>
    </row>
    <row r="28" spans="1:15" x14ac:dyDescent="0.2">
      <c r="A28" s="5">
        <v>640</v>
      </c>
      <c r="B28" s="19">
        <v>512</v>
      </c>
      <c r="C28" s="22">
        <v>10</v>
      </c>
      <c r="D28" s="22">
        <v>100</v>
      </c>
      <c r="E28" s="29">
        <v>10</v>
      </c>
      <c r="F28" s="13">
        <f t="shared" si="24"/>
        <v>50000</v>
      </c>
      <c r="G28" s="3">
        <f t="shared" si="25"/>
        <v>12500</v>
      </c>
      <c r="H28" s="3">
        <f t="shared" si="26"/>
        <v>195.3125</v>
      </c>
      <c r="I28" s="3">
        <v>1000</v>
      </c>
      <c r="J28" s="3">
        <f>100*( (C28 / 1000) * I28 ) / D28</f>
        <v>10</v>
      </c>
      <c r="K28" s="3">
        <f t="shared" si="28"/>
        <v>64</v>
      </c>
      <c r="L28" s="3">
        <f t="shared" si="29"/>
        <v>51.2</v>
      </c>
      <c r="M28" s="3">
        <f t="shared" si="30"/>
        <v>3.6656790118841185</v>
      </c>
      <c r="N28" s="16">
        <f t="shared" si="31"/>
        <v>2.9329033204955657</v>
      </c>
      <c r="O28" s="2"/>
    </row>
    <row r="29" spans="1:15" ht="17" thickBot="1" x14ac:dyDescent="0.25">
      <c r="A29" s="6">
        <v>640</v>
      </c>
      <c r="B29" s="20">
        <v>512</v>
      </c>
      <c r="C29" s="23">
        <v>10</v>
      </c>
      <c r="D29" s="23">
        <v>100</v>
      </c>
      <c r="E29" s="30">
        <v>40</v>
      </c>
      <c r="F29" s="14">
        <f t="shared" si="24"/>
        <v>200000</v>
      </c>
      <c r="G29" s="7">
        <f t="shared" si="25"/>
        <v>50000</v>
      </c>
      <c r="H29" s="7">
        <f t="shared" si="26"/>
        <v>781.25</v>
      </c>
      <c r="I29" s="7">
        <v>1000</v>
      </c>
      <c r="J29" s="7">
        <f t="shared" ref="J29:J37" si="32">100*( (C29 / 1000) * I29 ) / D29</f>
        <v>10</v>
      </c>
      <c r="K29" s="7">
        <f t="shared" si="28"/>
        <v>64</v>
      </c>
      <c r="L29" s="7">
        <f t="shared" si="29"/>
        <v>51.2</v>
      </c>
      <c r="M29" s="7">
        <f t="shared" si="30"/>
        <v>3.6656790118841185</v>
      </c>
      <c r="N29" s="17">
        <f t="shared" si="31"/>
        <v>2.9329033204955657</v>
      </c>
      <c r="O29" s="2"/>
    </row>
    <row r="30" spans="1:15" x14ac:dyDescent="0.2">
      <c r="A30" s="4">
        <v>640</v>
      </c>
      <c r="B30" s="18">
        <v>512</v>
      </c>
      <c r="C30" s="21">
        <v>10</v>
      </c>
      <c r="D30" s="31">
        <v>75</v>
      </c>
      <c r="E30" s="27">
        <v>1</v>
      </c>
      <c r="F30" s="12">
        <f t="shared" si="24"/>
        <v>3750</v>
      </c>
      <c r="G30" s="11">
        <f t="shared" si="25"/>
        <v>937.5</v>
      </c>
      <c r="H30" s="11">
        <f t="shared" si="26"/>
        <v>14.6484375</v>
      </c>
      <c r="I30" s="11">
        <v>1000</v>
      </c>
      <c r="J30" s="11">
        <f t="shared" si="32"/>
        <v>13.333333333333334</v>
      </c>
      <c r="K30" s="11">
        <f t="shared" si="28"/>
        <v>85.333333333333343</v>
      </c>
      <c r="L30" s="11">
        <f t="shared" si="29"/>
        <v>68.266666666666666</v>
      </c>
      <c r="M30" s="11">
        <f t="shared" si="30"/>
        <v>4.8862762250056724</v>
      </c>
      <c r="N30" s="15">
        <f t="shared" si="31"/>
        <v>3.909873908479486</v>
      </c>
      <c r="O30" s="2"/>
    </row>
    <row r="31" spans="1:15" x14ac:dyDescent="0.2">
      <c r="A31" s="5">
        <v>640</v>
      </c>
      <c r="B31" s="19">
        <v>512</v>
      </c>
      <c r="C31" s="22">
        <v>10</v>
      </c>
      <c r="D31" s="32">
        <v>75</v>
      </c>
      <c r="E31" s="29">
        <v>4</v>
      </c>
      <c r="F31" s="13">
        <f t="shared" si="24"/>
        <v>15000</v>
      </c>
      <c r="G31" s="3">
        <f t="shared" si="25"/>
        <v>3750</v>
      </c>
      <c r="H31" s="3">
        <f t="shared" si="26"/>
        <v>58.59375</v>
      </c>
      <c r="I31" s="3">
        <v>1000</v>
      </c>
      <c r="J31" s="3">
        <f t="shared" si="32"/>
        <v>13.333333333333334</v>
      </c>
      <c r="K31" s="3">
        <f t="shared" si="28"/>
        <v>85.333333333333343</v>
      </c>
      <c r="L31" s="3">
        <f t="shared" si="29"/>
        <v>68.266666666666666</v>
      </c>
      <c r="M31" s="3">
        <f t="shared" si="30"/>
        <v>4.8862762250056724</v>
      </c>
      <c r="N31" s="16">
        <f t="shared" si="31"/>
        <v>3.909873908479486</v>
      </c>
      <c r="O31" s="2"/>
    </row>
    <row r="32" spans="1:15" x14ac:dyDescent="0.2">
      <c r="A32" s="5">
        <v>640</v>
      </c>
      <c r="B32" s="19">
        <v>512</v>
      </c>
      <c r="C32" s="22">
        <v>10</v>
      </c>
      <c r="D32" s="32">
        <v>75</v>
      </c>
      <c r="E32" s="29">
        <v>10</v>
      </c>
      <c r="F32" s="13">
        <f t="shared" si="24"/>
        <v>37500</v>
      </c>
      <c r="G32" s="3">
        <f>(E32 * D32) / (8 * C32 / 1000)</f>
        <v>9375</v>
      </c>
      <c r="H32" s="3">
        <f t="shared" si="26"/>
        <v>146.484375</v>
      </c>
      <c r="I32" s="3">
        <v>1000</v>
      </c>
      <c r="J32" s="3">
        <f t="shared" si="32"/>
        <v>13.333333333333334</v>
      </c>
      <c r="K32" s="3">
        <f t="shared" si="28"/>
        <v>85.333333333333343</v>
      </c>
      <c r="L32" s="3">
        <f t="shared" si="29"/>
        <v>68.266666666666666</v>
      </c>
      <c r="M32" s="3">
        <f t="shared" si="30"/>
        <v>4.8862762250056724</v>
      </c>
      <c r="N32" s="16">
        <f t="shared" si="31"/>
        <v>3.909873908479486</v>
      </c>
      <c r="O32" s="2"/>
    </row>
    <row r="33" spans="1:15" ht="17" thickBot="1" x14ac:dyDescent="0.25">
      <c r="A33" s="6">
        <v>640</v>
      </c>
      <c r="B33" s="20">
        <v>512</v>
      </c>
      <c r="C33" s="37">
        <v>10</v>
      </c>
      <c r="D33" s="33">
        <v>75</v>
      </c>
      <c r="E33" s="30">
        <v>40</v>
      </c>
      <c r="F33" s="14">
        <f t="shared" si="24"/>
        <v>150000</v>
      </c>
      <c r="G33" s="7">
        <f t="shared" ref="G33:G37" si="33">(E33 * D33) / (8 * C33 / 1000)</f>
        <v>37500</v>
      </c>
      <c r="H33" s="7">
        <f t="shared" si="26"/>
        <v>585.9375</v>
      </c>
      <c r="I33" s="7">
        <v>1000</v>
      </c>
      <c r="J33" s="7">
        <f t="shared" si="32"/>
        <v>13.333333333333334</v>
      </c>
      <c r="K33" s="7">
        <f t="shared" si="28"/>
        <v>85.333333333333343</v>
      </c>
      <c r="L33" s="7">
        <f t="shared" si="29"/>
        <v>68.266666666666666</v>
      </c>
      <c r="M33" s="7">
        <f t="shared" si="30"/>
        <v>4.8862762250056724</v>
      </c>
      <c r="N33" s="17">
        <f t="shared" si="31"/>
        <v>3.909873908479486</v>
      </c>
      <c r="O33" s="2"/>
    </row>
    <row r="34" spans="1:15" x14ac:dyDescent="0.2">
      <c r="A34" s="4">
        <v>640</v>
      </c>
      <c r="B34" s="18">
        <v>512</v>
      </c>
      <c r="C34" s="21">
        <v>10</v>
      </c>
      <c r="D34" s="34">
        <v>150</v>
      </c>
      <c r="E34" s="27">
        <v>1</v>
      </c>
      <c r="F34" s="12">
        <f t="shared" si="24"/>
        <v>7500</v>
      </c>
      <c r="G34" s="11">
        <f t="shared" si="33"/>
        <v>1875</v>
      </c>
      <c r="H34" s="11">
        <f t="shared" si="26"/>
        <v>29.296875</v>
      </c>
      <c r="I34" s="11">
        <v>1000</v>
      </c>
      <c r="J34" s="11">
        <f t="shared" si="32"/>
        <v>6.666666666666667</v>
      </c>
      <c r="K34" s="11">
        <f t="shared" si="28"/>
        <v>42.666666666666671</v>
      </c>
      <c r="L34" s="11">
        <f t="shared" si="29"/>
        <v>34.133333333333333</v>
      </c>
      <c r="M34" s="11">
        <f t="shared" si="30"/>
        <v>2.4442491692306278</v>
      </c>
      <c r="N34" s="15">
        <f t="shared" si="31"/>
        <v>1.9555060946468947</v>
      </c>
      <c r="O34" s="2"/>
    </row>
    <row r="35" spans="1:15" x14ac:dyDescent="0.2">
      <c r="A35" s="5">
        <v>640</v>
      </c>
      <c r="B35" s="19">
        <v>512</v>
      </c>
      <c r="C35" s="22">
        <v>10</v>
      </c>
      <c r="D35" s="35">
        <v>150</v>
      </c>
      <c r="E35" s="29">
        <v>4</v>
      </c>
      <c r="F35" s="13">
        <f t="shared" si="24"/>
        <v>30000</v>
      </c>
      <c r="G35" s="3">
        <f t="shared" si="33"/>
        <v>7500</v>
      </c>
      <c r="H35" s="3">
        <f t="shared" si="26"/>
        <v>117.1875</v>
      </c>
      <c r="I35" s="3">
        <v>1000</v>
      </c>
      <c r="J35" s="3">
        <f t="shared" si="32"/>
        <v>6.666666666666667</v>
      </c>
      <c r="K35" s="3">
        <f t="shared" si="28"/>
        <v>42.666666666666671</v>
      </c>
      <c r="L35" s="3">
        <f t="shared" si="29"/>
        <v>34.133333333333333</v>
      </c>
      <c r="M35" s="3">
        <f t="shared" si="30"/>
        <v>2.4442491692306278</v>
      </c>
      <c r="N35" s="16">
        <f t="shared" si="31"/>
        <v>1.9555060946468947</v>
      </c>
      <c r="O35" s="2"/>
    </row>
    <row r="36" spans="1:15" x14ac:dyDescent="0.2">
      <c r="A36" s="5">
        <v>640</v>
      </c>
      <c r="B36" s="19">
        <v>512</v>
      </c>
      <c r="C36" s="22">
        <v>10</v>
      </c>
      <c r="D36" s="35">
        <v>150</v>
      </c>
      <c r="E36" s="29">
        <v>10</v>
      </c>
      <c r="F36" s="13">
        <f t="shared" si="24"/>
        <v>75000</v>
      </c>
      <c r="G36" s="3">
        <f t="shared" si="33"/>
        <v>18750</v>
      </c>
      <c r="H36" s="3">
        <f t="shared" si="26"/>
        <v>292.96875</v>
      </c>
      <c r="I36" s="3">
        <v>1000</v>
      </c>
      <c r="J36" s="3">
        <f t="shared" si="32"/>
        <v>6.666666666666667</v>
      </c>
      <c r="K36" s="3">
        <f t="shared" si="28"/>
        <v>42.666666666666671</v>
      </c>
      <c r="L36" s="3">
        <f t="shared" si="29"/>
        <v>34.133333333333333</v>
      </c>
      <c r="M36" s="3">
        <f t="shared" si="30"/>
        <v>2.4442491692306278</v>
      </c>
      <c r="N36" s="16">
        <f t="shared" si="31"/>
        <v>1.9555060946468947</v>
      </c>
      <c r="O36" s="2"/>
    </row>
    <row r="37" spans="1:15" ht="17" thickBot="1" x14ac:dyDescent="0.25">
      <c r="A37" s="6">
        <v>640</v>
      </c>
      <c r="B37" s="20">
        <v>512</v>
      </c>
      <c r="C37" s="23">
        <v>10</v>
      </c>
      <c r="D37" s="36">
        <v>150</v>
      </c>
      <c r="E37" s="30">
        <v>40</v>
      </c>
      <c r="F37" s="14">
        <f t="shared" si="24"/>
        <v>300000</v>
      </c>
      <c r="G37" s="7">
        <f t="shared" si="33"/>
        <v>75000</v>
      </c>
      <c r="H37" s="7">
        <f t="shared" si="26"/>
        <v>1171.875</v>
      </c>
      <c r="I37" s="7">
        <v>1000</v>
      </c>
      <c r="J37" s="7">
        <f t="shared" si="32"/>
        <v>6.666666666666667</v>
      </c>
      <c r="K37" s="7">
        <f t="shared" si="28"/>
        <v>42.666666666666671</v>
      </c>
      <c r="L37" s="7">
        <f t="shared" si="29"/>
        <v>34.133333333333333</v>
      </c>
      <c r="M37" s="7">
        <f t="shared" si="30"/>
        <v>2.4442491692306278</v>
      </c>
      <c r="N37" s="17">
        <f t="shared" si="31"/>
        <v>1.9555060946468947</v>
      </c>
      <c r="O37" s="2"/>
    </row>
    <row r="38" spans="1:15" x14ac:dyDescent="0.2">
      <c r="F38" s="2"/>
      <c r="G38" s="2"/>
      <c r="H38" s="2"/>
      <c r="I38" s="2"/>
      <c r="J38" s="2"/>
      <c r="K38" s="2"/>
      <c r="L38" s="2"/>
      <c r="M38" s="2"/>
      <c r="N38" s="2"/>
      <c r="O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2026-06-27T18:41:47Z</dcterms:created>
  <dcterms:modified xsi:type="dcterms:W3CDTF">2026-06-27T19:34:47Z</dcterms:modified>
</cp:coreProperties>
</file>